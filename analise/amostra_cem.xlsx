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A Expert Academy\Algoritmos de Otimização\"/>
    </mc:Choice>
  </mc:AlternateContent>
  <xr:revisionPtr revIDLastSave="0" documentId="13_ncr:1_{1726955C-42E8-4BDA-93F7-076F92F65F13}" xr6:coauthVersionLast="47" xr6:coauthVersionMax="47" xr10:uidLastSave="{00000000-0000-0000-0000-000000000000}"/>
  <bookViews>
    <workbookView xWindow="-120" yWindow="-120" windowWidth="29040" windowHeight="15990" xr2:uid="{D47B9E00-CB69-4205-8414-2EB324327337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2" i="1" l="1"/>
  <c r="J32" i="1"/>
  <c r="I32" i="1"/>
  <c r="K31" i="1"/>
  <c r="J31" i="1"/>
  <c r="I31" i="1"/>
  <c r="K30" i="1"/>
  <c r="J30" i="1"/>
  <c r="I30" i="1"/>
  <c r="K29" i="1"/>
  <c r="J29" i="1"/>
  <c r="I29" i="1"/>
  <c r="K28" i="1"/>
  <c r="J28" i="1"/>
  <c r="I28" i="1"/>
  <c r="K7" i="1"/>
  <c r="J7" i="1"/>
  <c r="I7" i="1"/>
  <c r="K6" i="1"/>
  <c r="J6" i="1"/>
  <c r="I6" i="1"/>
  <c r="K5" i="1"/>
  <c r="J5" i="1"/>
  <c r="I5" i="1"/>
  <c r="K4" i="1"/>
  <c r="J4" i="1"/>
  <c r="I4" i="1"/>
  <c r="K3" i="1"/>
  <c r="J3" i="1"/>
  <c r="I3" i="1"/>
</calcChain>
</file>

<file path=xl/sharedStrings.xml><?xml version="1.0" encoding="utf-8"?>
<sst xmlns="http://schemas.openxmlformats.org/spreadsheetml/2006/main" count="33" uniqueCount="14">
  <si>
    <t>Pesquisa Aleatória</t>
  </si>
  <si>
    <t>Subida da Encosta</t>
  </si>
  <si>
    <t>Subida da Encosta + Pesquisa Aleatória</t>
  </si>
  <si>
    <t>Têmpera Simulada</t>
  </si>
  <si>
    <t>Algoritmo Genético</t>
  </si>
  <si>
    <t>Algoritmo</t>
  </si>
  <si>
    <t>Menor</t>
  </si>
  <si>
    <t>Maior</t>
  </si>
  <si>
    <r>
      <t xml:space="preserve">Média
</t>
    </r>
    <r>
      <rPr>
        <b/>
        <sz val="9"/>
        <color theme="0"/>
        <rFont val="Calibri"/>
        <family val="2"/>
        <scheme val="minor"/>
      </rPr>
      <t>100 amostras</t>
    </r>
  </si>
  <si>
    <t>OTIMIZAÇÃO VOOS</t>
  </si>
  <si>
    <t>OTIMIZAÇÃO DORMITÓRIOS</t>
  </si>
  <si>
    <t>Voos</t>
  </si>
  <si>
    <t>Dormitórios</t>
  </si>
  <si>
    <t># Por possuir poucas combinações (aproximadamente 100.000) a pesquisa aleatoria tende a se sair melhor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</si>
</sst>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Arial Black"/>
      <family val="2"/>
    </font>
    <font>
      <sz val="10"/>
      <color theme="2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4506668294322"/>
      </bottom>
      <diagonal/>
    </border>
  </borders>
  <cellStyleXfs count="1">
    <xf numFmtId="0" fontId="0" fillId="0" borderId="0"/>
  </cellStyleXfs>
  <cellXfs count="22">
    <xf numFmtId="0" fontId="0" fillId="0" borderId="0" xfId="0"/>
    <xf numFmtId="44" fontId="0" fillId="0" borderId="0" xfId="0" applyNumberFormat="1"/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4" fontId="0" fillId="3" borderId="1" xfId="0" applyNumberFormat="1" applyFont="1" applyFill="1" applyBorder="1"/>
    <xf numFmtId="44" fontId="0" fillId="0" borderId="2" xfId="0" applyNumberFormat="1" applyFont="1" applyBorder="1"/>
    <xf numFmtId="0" fontId="1" fillId="2" borderId="1" xfId="0" applyFont="1" applyFill="1" applyBorder="1" applyAlignment="1">
      <alignment horizontal="center" vertical="center" wrapText="1"/>
    </xf>
    <xf numFmtId="44" fontId="0" fillId="3" borderId="2" xfId="0" applyNumberFormat="1" applyFont="1" applyFill="1" applyBorder="1"/>
    <xf numFmtId="44" fontId="0" fillId="0" borderId="1" xfId="0" applyNumberFormat="1" applyFont="1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" fontId="0" fillId="0" borderId="0" xfId="0" applyNumberFormat="1"/>
    <xf numFmtId="0" fontId="3" fillId="0" borderId="0" xfId="0" applyFont="1"/>
    <xf numFmtId="0" fontId="4" fillId="0" borderId="0" xfId="0" applyFont="1"/>
    <xf numFmtId="165" fontId="0" fillId="3" borderId="1" xfId="0" applyNumberFormat="1" applyFont="1" applyFill="1" applyBorder="1"/>
    <xf numFmtId="165" fontId="0" fillId="0" borderId="1" xfId="0" applyNumberFormat="1" applyFont="1" applyBorder="1"/>
    <xf numFmtId="1" fontId="0" fillId="3" borderId="1" xfId="0" applyNumberFormat="1" applyFont="1" applyFill="1" applyBorder="1"/>
    <xf numFmtId="1" fontId="0" fillId="3" borderId="2" xfId="0" applyNumberFormat="1" applyFont="1" applyFill="1" applyBorder="1"/>
    <xf numFmtId="1" fontId="0" fillId="0" borderId="1" xfId="0" applyNumberFormat="1" applyFont="1" applyBorder="1"/>
    <xf numFmtId="1" fontId="0" fillId="0" borderId="2" xfId="0" applyNumberFormat="1" applyFont="1" applyBorder="1"/>
    <xf numFmtId="0" fontId="5" fillId="0" borderId="0" xfId="0" applyFont="1" applyAlignment="1">
      <alignment vertical="top"/>
    </xf>
  </cellXfs>
  <cellStyles count="1">
    <cellStyle name="Normal" xfId="0" builtinId="0"/>
  </cellStyles>
  <dxfs count="14">
    <dxf>
      <alignment horizontal="center" vertical="center" textRotation="0" wrapText="1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/>
              <a:t>Comparação</a:t>
            </a:r>
            <a:r>
              <a:rPr lang="pt-BR" sz="1600" b="1" baseline="0"/>
              <a:t> entre algoritmos de otimização (voos):</a:t>
            </a:r>
          </a:p>
          <a:p>
            <a:pPr>
              <a:defRPr/>
            </a:pPr>
            <a:r>
              <a:rPr lang="pt-BR" sz="1600" b="1" baseline="0"/>
              <a:t>média de 100 amostras</a:t>
            </a:r>
          </a:p>
          <a:p>
            <a:pPr>
              <a:defRPr/>
            </a:pPr>
            <a:r>
              <a:rPr lang="pt-BR" sz="1000" i="0" baseline="0"/>
              <a:t>(quanto menor, </a:t>
            </a:r>
            <a:r>
              <a:rPr lang="pt-BR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melhor)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Planilha1!$H$3:$H$7</c:f>
              <c:strCache>
                <c:ptCount val="5"/>
                <c:pt idx="0">
                  <c:v>Pesquisa Aleatória</c:v>
                </c:pt>
                <c:pt idx="1">
                  <c:v>Subida da Encosta</c:v>
                </c:pt>
                <c:pt idx="2">
                  <c:v>Subida da Encosta + Pesquisa Aleatória</c:v>
                </c:pt>
                <c:pt idx="3">
                  <c:v>Têmpera Simulada</c:v>
                </c:pt>
                <c:pt idx="4">
                  <c:v>Algoritmo Genético</c:v>
                </c:pt>
              </c:strCache>
            </c:strRef>
          </c:cat>
          <c:val>
            <c:numRef>
              <c:f>Planilha1!$I$3:$I$7</c:f>
              <c:numCache>
                <c:formatCode>_("R$"* #,##0.00_);_("R$"* \(#,##0.00\);_("R$"* "-"??_);_(@_)</c:formatCode>
                <c:ptCount val="5"/>
                <c:pt idx="0">
                  <c:v>3646.24</c:v>
                </c:pt>
                <c:pt idx="1">
                  <c:v>4353.59</c:v>
                </c:pt>
                <c:pt idx="2">
                  <c:v>2888.98</c:v>
                </c:pt>
                <c:pt idx="3">
                  <c:v>3694.33</c:v>
                </c:pt>
                <c:pt idx="4">
                  <c:v>2944.15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23-484D-A550-326C00A2E35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-27"/>
        <c:axId val="1302796287"/>
        <c:axId val="1302798367"/>
      </c:barChart>
      <c:catAx>
        <c:axId val="130279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2798367"/>
        <c:crosses val="autoZero"/>
        <c:auto val="1"/>
        <c:lblAlgn val="ctr"/>
        <c:lblOffset val="100"/>
        <c:noMultiLvlLbl val="0"/>
      </c:catAx>
      <c:valAx>
        <c:axId val="1302798367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302796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/>
              <a:t>Comparação</a:t>
            </a:r>
            <a:r>
              <a:rPr lang="pt-BR" sz="1600" b="1" baseline="0"/>
              <a:t> entre algoritmos de otimização (dormitórios):</a:t>
            </a:r>
          </a:p>
          <a:p>
            <a:pPr>
              <a:defRPr/>
            </a:pPr>
            <a:r>
              <a:rPr lang="pt-BR" sz="1600" b="1" baseline="0"/>
              <a:t>média de 100 amostras</a:t>
            </a:r>
          </a:p>
          <a:p>
            <a:pPr>
              <a:defRPr/>
            </a:pPr>
            <a:r>
              <a:rPr lang="pt-BR" sz="1000" i="0" baseline="0"/>
              <a:t>(quanto menor, </a:t>
            </a:r>
            <a:r>
              <a:rPr lang="pt-BR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melhor)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Serie1</c:v>
          </c:tx>
          <c:spPr>
            <a:solidFill>
              <a:schemeClr val="accent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Planilha1!$H$28:$H$32</c:f>
              <c:strCache>
                <c:ptCount val="5"/>
                <c:pt idx="0">
                  <c:v>Pesquisa Aleatória</c:v>
                </c:pt>
                <c:pt idx="1">
                  <c:v>Subida da Encosta</c:v>
                </c:pt>
                <c:pt idx="2">
                  <c:v>Subida da Encosta + Pesquisa Aleatória</c:v>
                </c:pt>
                <c:pt idx="3">
                  <c:v>Têmpera Simulada</c:v>
                </c:pt>
                <c:pt idx="4">
                  <c:v>Algoritmo Genético</c:v>
                </c:pt>
              </c:strCache>
            </c:strRef>
          </c:cat>
          <c:val>
            <c:numRef>
              <c:f>Planilha1!$I$28:$I$32</c:f>
              <c:numCache>
                <c:formatCode>0.0</c:formatCode>
                <c:ptCount val="5"/>
                <c:pt idx="0">
                  <c:v>3.42</c:v>
                </c:pt>
                <c:pt idx="1">
                  <c:v>13.32</c:v>
                </c:pt>
                <c:pt idx="2">
                  <c:v>3.59</c:v>
                </c:pt>
                <c:pt idx="3">
                  <c:v>11.63</c:v>
                </c:pt>
                <c:pt idx="4">
                  <c:v>4.34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08-4096-A32C-A31C45D14A9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-27"/>
        <c:axId val="1302796287"/>
        <c:axId val="1302798367"/>
      </c:barChart>
      <c:catAx>
        <c:axId val="130279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2798367"/>
        <c:crosses val="autoZero"/>
        <c:auto val="1"/>
        <c:lblAlgn val="ctr"/>
        <c:lblOffset val="100"/>
        <c:noMultiLvlLbl val="0"/>
      </c:catAx>
      <c:valAx>
        <c:axId val="1302798367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302796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1019175</xdr:colOff>
      <xdr:row>8</xdr:row>
      <xdr:rowOff>23811</xdr:rowOff>
    </xdr:from>
    <xdr:to>
      <xdr:col>11</xdr:col>
      <xdr:colOff>19050</xdr:colOff>
      <xdr:row>21</xdr:row>
      <xdr:rowOff>219074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42ED8E-9472-41B2-8179-B8882214E8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33</xdr:row>
      <xdr:rowOff>0</xdr:rowOff>
    </xdr:from>
    <xdr:to>
      <xdr:col>11</xdr:col>
      <xdr:colOff>47625</xdr:colOff>
      <xdr:row>46</xdr:row>
      <xdr:rowOff>166688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A478F13-0754-4403-B941-161B7D50BB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3164A7-4420-4612-A64B-D84E25AABC3D}" name="TbDadosVoos" displayName="TbDadosVoos" ref="B2:F102" totalsRowShown="0" headerRowDxfId="13" dataDxfId="12">
  <autoFilter ref="B2:F102" xr:uid="{C93164A7-4420-4612-A64B-D84E25AABC3D}"/>
  <tableColumns count="5">
    <tableColumn id="1" xr3:uid="{63D94E08-1BEF-418C-BD68-12EFFABC4E67}" name="Pesquisa Aleatória" dataDxfId="11"/>
    <tableColumn id="2" xr3:uid="{5555F879-5272-41BE-8532-44640E724FF3}" name="Subida da Encosta" dataDxfId="10"/>
    <tableColumn id="3" xr3:uid="{3D92536A-C3A5-4C36-BC96-AD64432B9B8A}" name="Subida da Encosta + Pesquisa Aleatória" dataDxfId="9"/>
    <tableColumn id="4" xr3:uid="{A5CFE4E1-AB86-4FF5-B407-5120C66576F1}" name="Têmpera Simulada" dataDxfId="8"/>
    <tableColumn id="5" xr3:uid="{3AF05C93-69C7-4589-A75D-2437F6B64D40}" name="Algoritmo Genético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25EA9E-1014-4BD6-A6A1-BCD53640661C}" name="TbDadosDorm" displayName="TbDadosDorm" ref="N2:R102" totalsRowShown="0" headerRowDxfId="0" dataDxfId="1">
  <autoFilter ref="N2:R102" xr:uid="{1625EA9E-1014-4BD6-A6A1-BCD53640661C}"/>
  <tableColumns count="5">
    <tableColumn id="1" xr3:uid="{A2CD1CB2-0810-4C72-A592-3D8434E4C8CB}" name="Pesquisa Aleatória" dataDxfId="6"/>
    <tableColumn id="2" xr3:uid="{66E99C39-D6B0-428E-B24B-E2D234AB0817}" name="Subida da Encosta" dataDxfId="5"/>
    <tableColumn id="3" xr3:uid="{D0B68691-57FC-4DC0-B51D-B5F850294C41}" name="Subida da Encosta + Pesquisa Aleatória" dataDxfId="4"/>
    <tableColumn id="4" xr3:uid="{9AB5015F-F542-48C7-98A6-2A4B1C0DED7D}" name="Têmpera Simulada" dataDxfId="3"/>
    <tableColumn id="5" xr3:uid="{09D3EADD-9826-4965-AD45-82905914D7DF}" name="Algoritmo Genétic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6A2CD-B724-4CC3-9CC2-0ADA00EC2E9C}">
  <dimension ref="B1:R102"/>
  <sheetViews>
    <sheetView showGridLines="0" tabSelected="1" topLeftCell="D1" workbookViewId="0">
      <selection activeCell="K50" sqref="K50"/>
    </sheetView>
  </sheetViews>
  <sheetFormatPr defaultColWidth="15.7109375" defaultRowHeight="20.100000000000001" customHeight="1" x14ac:dyDescent="0.25"/>
  <cols>
    <col min="1" max="1" width="2.85546875" customWidth="1"/>
    <col min="2" max="6" width="21.42578125" customWidth="1"/>
    <col min="8" max="8" width="35.28515625" customWidth="1"/>
    <col min="9" max="11" width="21.42578125" customWidth="1"/>
    <col min="14" max="18" width="21.42578125" customWidth="1"/>
  </cols>
  <sheetData>
    <row r="1" spans="2:18" ht="37.5" customHeight="1" x14ac:dyDescent="0.5">
      <c r="B1" s="14" t="s">
        <v>9</v>
      </c>
      <c r="H1" s="13" t="s">
        <v>11</v>
      </c>
      <c r="N1" s="14" t="s">
        <v>10</v>
      </c>
    </row>
    <row r="2" spans="2:18" ht="30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H2" s="11" t="s">
        <v>5</v>
      </c>
      <c r="I2" s="6" t="s">
        <v>8</v>
      </c>
      <c r="J2" s="6" t="s">
        <v>6</v>
      </c>
      <c r="K2" s="3" t="s">
        <v>7</v>
      </c>
      <c r="N2" s="2" t="s">
        <v>0</v>
      </c>
      <c r="O2" s="2" t="s">
        <v>1</v>
      </c>
      <c r="P2" s="2" t="s">
        <v>2</v>
      </c>
      <c r="Q2" s="2" t="s">
        <v>3</v>
      </c>
      <c r="R2" s="2" t="s">
        <v>4</v>
      </c>
    </row>
    <row r="3" spans="2:18" ht="15" x14ac:dyDescent="0.25">
      <c r="B3" s="1">
        <v>3865</v>
      </c>
      <c r="C3" s="1">
        <v>3628</v>
      </c>
      <c r="D3" s="1">
        <v>2893</v>
      </c>
      <c r="E3" s="1">
        <v>4871</v>
      </c>
      <c r="F3" s="1">
        <v>2939</v>
      </c>
      <c r="H3" s="9" t="s">
        <v>0</v>
      </c>
      <c r="I3" s="4">
        <f>AVERAGE(TbDadosVoos[Pesquisa Aleatória])</f>
        <v>3646.24</v>
      </c>
      <c r="J3" s="4">
        <f>SMALL(TbDadosVoos[Pesquisa Aleatória],1)</f>
        <v>3250</v>
      </c>
      <c r="K3" s="7">
        <f>LARGE(TbDadosVoos[Pesquisa Aleatória],1)</f>
        <v>3996</v>
      </c>
      <c r="N3" s="12">
        <v>4</v>
      </c>
      <c r="O3" s="12">
        <v>19</v>
      </c>
      <c r="P3" s="12">
        <v>3</v>
      </c>
      <c r="Q3" s="12">
        <v>11</v>
      </c>
      <c r="R3" s="12">
        <v>5</v>
      </c>
    </row>
    <row r="4" spans="2:18" ht="15" x14ac:dyDescent="0.25">
      <c r="B4" s="1">
        <v>3767</v>
      </c>
      <c r="C4" s="1">
        <v>4350</v>
      </c>
      <c r="D4" s="1">
        <v>2656</v>
      </c>
      <c r="E4" s="1">
        <v>3447</v>
      </c>
      <c r="F4" s="1">
        <v>2896</v>
      </c>
      <c r="H4" s="9" t="s">
        <v>1</v>
      </c>
      <c r="I4" s="8">
        <f>AVERAGE(TbDadosVoos[Subida da Encosta])</f>
        <v>4353.59</v>
      </c>
      <c r="J4" s="8">
        <f>SMALL(TbDadosVoos[Subida da Encosta],1)</f>
        <v>2956</v>
      </c>
      <c r="K4" s="5">
        <f>LARGE(TbDadosVoos[Subida da Encosta],1)</f>
        <v>6946</v>
      </c>
      <c r="N4" s="12">
        <v>2</v>
      </c>
      <c r="O4" s="12">
        <v>17</v>
      </c>
      <c r="P4" s="12">
        <v>4</v>
      </c>
      <c r="Q4" s="12">
        <v>5</v>
      </c>
      <c r="R4" s="12">
        <v>6</v>
      </c>
    </row>
    <row r="5" spans="2:18" ht="30" x14ac:dyDescent="0.25">
      <c r="B5" s="1">
        <v>3781</v>
      </c>
      <c r="C5" s="1">
        <v>3462</v>
      </c>
      <c r="D5" s="1">
        <v>2875</v>
      </c>
      <c r="E5" s="1">
        <v>3104</v>
      </c>
      <c r="F5" s="1">
        <v>2892</v>
      </c>
      <c r="H5" s="9" t="s">
        <v>2</v>
      </c>
      <c r="I5" s="4">
        <f>AVERAGE(TbDadosVoos[Subida da Encosta + Pesquisa Aleatória])</f>
        <v>2888.98</v>
      </c>
      <c r="J5" s="4">
        <f>SMALL(TbDadosVoos[Subida da Encosta + Pesquisa Aleatória],1)</f>
        <v>2356</v>
      </c>
      <c r="K5" s="7">
        <f>LARGE(TbDadosVoos[Subida da Encosta + Pesquisa Aleatória],1)</f>
        <v>3565</v>
      </c>
      <c r="N5" s="12">
        <v>4</v>
      </c>
      <c r="O5" s="12">
        <v>15</v>
      </c>
      <c r="P5" s="12">
        <v>3</v>
      </c>
      <c r="Q5" s="12">
        <v>7</v>
      </c>
      <c r="R5" s="12">
        <v>3</v>
      </c>
    </row>
    <row r="6" spans="2:18" ht="15" x14ac:dyDescent="0.25">
      <c r="B6" s="1">
        <v>3484</v>
      </c>
      <c r="C6" s="1">
        <v>3221</v>
      </c>
      <c r="D6" s="1">
        <v>2656</v>
      </c>
      <c r="E6" s="1">
        <v>3169</v>
      </c>
      <c r="F6" s="1">
        <v>3164</v>
      </c>
      <c r="H6" s="9" t="s">
        <v>3</v>
      </c>
      <c r="I6" s="8">
        <f>AVERAGE(TbDadosVoos[Têmpera Simulada])</f>
        <v>3694.33</v>
      </c>
      <c r="J6" s="8">
        <f>SMALL(TbDadosVoos[Têmpera Simulada],1)</f>
        <v>2777</v>
      </c>
      <c r="K6" s="5">
        <f>LARGE(TbDadosVoos[Têmpera Simulada],1)</f>
        <v>4978</v>
      </c>
      <c r="N6" s="12">
        <v>3</v>
      </c>
      <c r="O6" s="12">
        <v>15</v>
      </c>
      <c r="P6" s="12">
        <v>4</v>
      </c>
      <c r="Q6" s="12">
        <v>7</v>
      </c>
      <c r="R6" s="12">
        <v>6</v>
      </c>
    </row>
    <row r="7" spans="2:18" ht="15" x14ac:dyDescent="0.25">
      <c r="B7" s="1">
        <v>3837</v>
      </c>
      <c r="C7" s="1">
        <v>4291</v>
      </c>
      <c r="D7" s="1">
        <v>2874</v>
      </c>
      <c r="E7" s="1">
        <v>3734</v>
      </c>
      <c r="F7" s="1">
        <v>2902</v>
      </c>
      <c r="H7" s="10" t="s">
        <v>4</v>
      </c>
      <c r="I7" s="4">
        <f>AVERAGE(TbDadosVoos[Algoritmo Genético])</f>
        <v>2944.15</v>
      </c>
      <c r="J7" s="4">
        <f>SMALL(TbDadosVoos[Algoritmo Genético],1)</f>
        <v>2356</v>
      </c>
      <c r="K7" s="7">
        <f>LARGE(TbDadosVoos[Algoritmo Genético],1)</f>
        <v>3687</v>
      </c>
      <c r="N7" s="12">
        <v>5</v>
      </c>
      <c r="O7" s="12">
        <v>13</v>
      </c>
      <c r="P7" s="12">
        <v>4</v>
      </c>
      <c r="Q7" s="12">
        <v>14</v>
      </c>
      <c r="R7" s="12">
        <v>5</v>
      </c>
    </row>
    <row r="8" spans="2:18" ht="15" x14ac:dyDescent="0.25">
      <c r="B8" s="1">
        <v>3668</v>
      </c>
      <c r="C8" s="1">
        <v>3558</v>
      </c>
      <c r="D8" s="1">
        <v>2759</v>
      </c>
      <c r="E8" s="1">
        <v>4178</v>
      </c>
      <c r="F8" s="1">
        <v>2811</v>
      </c>
      <c r="N8" s="12">
        <v>3</v>
      </c>
      <c r="O8" s="12">
        <v>8</v>
      </c>
      <c r="P8" s="12">
        <v>5</v>
      </c>
      <c r="Q8" s="12">
        <v>13</v>
      </c>
      <c r="R8" s="12">
        <v>4</v>
      </c>
    </row>
    <row r="9" spans="2:18" ht="15" x14ac:dyDescent="0.25">
      <c r="B9" s="1">
        <v>3250</v>
      </c>
      <c r="C9" s="1">
        <v>5090</v>
      </c>
      <c r="D9" s="1">
        <v>2969</v>
      </c>
      <c r="E9" s="1">
        <v>3407</v>
      </c>
      <c r="F9" s="1">
        <v>3430</v>
      </c>
      <c r="N9" s="12">
        <v>4</v>
      </c>
      <c r="O9" s="12">
        <v>14</v>
      </c>
      <c r="P9" s="12">
        <v>2</v>
      </c>
      <c r="Q9" s="12">
        <v>13</v>
      </c>
      <c r="R9" s="12">
        <v>4</v>
      </c>
    </row>
    <row r="10" spans="2:18" ht="15" x14ac:dyDescent="0.25">
      <c r="B10" s="1">
        <v>3500</v>
      </c>
      <c r="C10" s="1">
        <v>4455</v>
      </c>
      <c r="D10" s="1">
        <v>2777</v>
      </c>
      <c r="E10" s="1">
        <v>3963</v>
      </c>
      <c r="F10" s="1">
        <v>3240</v>
      </c>
      <c r="N10" s="12">
        <v>4</v>
      </c>
      <c r="O10" s="12">
        <v>13</v>
      </c>
      <c r="P10" s="12">
        <v>2</v>
      </c>
      <c r="Q10" s="12">
        <v>13</v>
      </c>
      <c r="R10" s="12">
        <v>4</v>
      </c>
    </row>
    <row r="11" spans="2:18" ht="15" x14ac:dyDescent="0.25">
      <c r="B11" s="1">
        <v>3996</v>
      </c>
      <c r="C11" s="1">
        <v>4391</v>
      </c>
      <c r="D11" s="1">
        <v>3159</v>
      </c>
      <c r="E11" s="1">
        <v>4015</v>
      </c>
      <c r="F11" s="1">
        <v>3052</v>
      </c>
      <c r="N11" s="12">
        <v>2</v>
      </c>
      <c r="O11" s="12">
        <v>14</v>
      </c>
      <c r="P11" s="12">
        <v>2</v>
      </c>
      <c r="Q11" s="12">
        <v>8</v>
      </c>
      <c r="R11" s="12">
        <v>5</v>
      </c>
    </row>
    <row r="12" spans="2:18" ht="15" x14ac:dyDescent="0.25">
      <c r="B12" s="1">
        <v>3256</v>
      </c>
      <c r="C12" s="1">
        <v>3614</v>
      </c>
      <c r="D12" s="1">
        <v>2867</v>
      </c>
      <c r="E12" s="1">
        <v>3521</v>
      </c>
      <c r="F12" s="1">
        <v>2697</v>
      </c>
      <c r="N12" s="12">
        <v>2</v>
      </c>
      <c r="O12" s="12">
        <v>16</v>
      </c>
      <c r="P12" s="12">
        <v>4</v>
      </c>
      <c r="Q12" s="12">
        <v>17</v>
      </c>
      <c r="R12" s="12">
        <v>4</v>
      </c>
    </row>
    <row r="13" spans="2:18" ht="15" x14ac:dyDescent="0.25">
      <c r="B13" s="1">
        <v>3773</v>
      </c>
      <c r="C13" s="1">
        <v>4718</v>
      </c>
      <c r="D13" s="1">
        <v>2887</v>
      </c>
      <c r="E13" s="1">
        <v>4447</v>
      </c>
      <c r="F13" s="1">
        <v>2725</v>
      </c>
      <c r="N13" s="12">
        <v>5</v>
      </c>
      <c r="O13" s="12">
        <v>11</v>
      </c>
      <c r="P13" s="12">
        <v>4</v>
      </c>
      <c r="Q13" s="12">
        <v>12</v>
      </c>
      <c r="R13" s="12">
        <v>7</v>
      </c>
    </row>
    <row r="14" spans="2:18" ht="15" x14ac:dyDescent="0.25">
      <c r="B14" s="1">
        <v>3864</v>
      </c>
      <c r="C14" s="1">
        <v>4342</v>
      </c>
      <c r="D14" s="1">
        <v>2533</v>
      </c>
      <c r="E14" s="1">
        <v>3483</v>
      </c>
      <c r="F14" s="1">
        <v>2823</v>
      </c>
      <c r="N14" s="12">
        <v>3</v>
      </c>
      <c r="O14" s="12">
        <v>13</v>
      </c>
      <c r="P14" s="12">
        <v>4</v>
      </c>
      <c r="Q14" s="12">
        <v>19</v>
      </c>
      <c r="R14" s="12">
        <v>3</v>
      </c>
    </row>
    <row r="15" spans="2:18" ht="15" x14ac:dyDescent="0.25">
      <c r="B15" s="1">
        <v>3271</v>
      </c>
      <c r="C15" s="1">
        <v>5394</v>
      </c>
      <c r="D15" s="1">
        <v>2960</v>
      </c>
      <c r="E15" s="1">
        <v>3482</v>
      </c>
      <c r="F15" s="1">
        <v>2941</v>
      </c>
      <c r="N15" s="12">
        <v>2</v>
      </c>
      <c r="O15" s="12">
        <v>17</v>
      </c>
      <c r="P15" s="12">
        <v>4</v>
      </c>
      <c r="Q15" s="12">
        <v>13</v>
      </c>
      <c r="R15" s="12">
        <v>5</v>
      </c>
    </row>
    <row r="16" spans="2:18" ht="15" x14ac:dyDescent="0.25">
      <c r="B16" s="1">
        <v>3663</v>
      </c>
      <c r="C16" s="1">
        <v>4559</v>
      </c>
      <c r="D16" s="1">
        <v>2933</v>
      </c>
      <c r="E16" s="1">
        <v>4717</v>
      </c>
      <c r="F16" s="1">
        <v>2913</v>
      </c>
      <c r="N16" s="12">
        <v>4</v>
      </c>
      <c r="O16" s="12">
        <v>14</v>
      </c>
      <c r="P16" s="12">
        <v>3</v>
      </c>
      <c r="Q16" s="12">
        <v>10</v>
      </c>
      <c r="R16" s="12">
        <v>2</v>
      </c>
    </row>
    <row r="17" spans="2:18" ht="15" x14ac:dyDescent="0.25">
      <c r="B17" s="1">
        <v>3778</v>
      </c>
      <c r="C17" s="1">
        <v>6946</v>
      </c>
      <c r="D17" s="1">
        <v>2652</v>
      </c>
      <c r="E17" s="1">
        <v>4001</v>
      </c>
      <c r="F17" s="1">
        <v>2957</v>
      </c>
      <c r="N17" s="12">
        <v>2</v>
      </c>
      <c r="O17" s="12">
        <v>15</v>
      </c>
      <c r="P17" s="12">
        <v>2</v>
      </c>
      <c r="Q17" s="12">
        <v>20</v>
      </c>
      <c r="R17" s="12">
        <v>4</v>
      </c>
    </row>
    <row r="18" spans="2:18" ht="15" x14ac:dyDescent="0.25">
      <c r="B18" s="1">
        <v>3770</v>
      </c>
      <c r="C18" s="1">
        <v>3833</v>
      </c>
      <c r="D18" s="1">
        <v>2782</v>
      </c>
      <c r="E18" s="1">
        <v>3190</v>
      </c>
      <c r="F18" s="1">
        <v>2868</v>
      </c>
      <c r="N18" s="12">
        <v>4</v>
      </c>
      <c r="O18" s="12">
        <v>17</v>
      </c>
      <c r="P18" s="12">
        <v>2</v>
      </c>
      <c r="Q18" s="12">
        <v>12</v>
      </c>
      <c r="R18" s="12">
        <v>5</v>
      </c>
    </row>
    <row r="19" spans="2:18" ht="15" x14ac:dyDescent="0.25">
      <c r="B19" s="1">
        <v>3772</v>
      </c>
      <c r="C19" s="1">
        <v>3154</v>
      </c>
      <c r="D19" s="1">
        <v>2560</v>
      </c>
      <c r="E19" s="1">
        <v>4729</v>
      </c>
      <c r="F19" s="1">
        <v>2811</v>
      </c>
      <c r="N19" s="12">
        <v>2</v>
      </c>
      <c r="O19" s="12">
        <v>11</v>
      </c>
      <c r="P19" s="12">
        <v>2</v>
      </c>
      <c r="Q19" s="12">
        <v>9</v>
      </c>
      <c r="R19" s="12">
        <v>3</v>
      </c>
    </row>
    <row r="20" spans="2:18" ht="15" x14ac:dyDescent="0.25">
      <c r="B20" s="1">
        <v>3748</v>
      </c>
      <c r="C20" s="1">
        <v>3812</v>
      </c>
      <c r="D20" s="1">
        <v>2687</v>
      </c>
      <c r="E20" s="1">
        <v>4552</v>
      </c>
      <c r="F20" s="1">
        <v>2718</v>
      </c>
      <c r="N20" s="12">
        <v>3</v>
      </c>
      <c r="O20" s="12">
        <v>15</v>
      </c>
      <c r="P20" s="12">
        <v>5</v>
      </c>
      <c r="Q20" s="12">
        <v>15</v>
      </c>
      <c r="R20" s="12">
        <v>4</v>
      </c>
    </row>
    <row r="21" spans="2:18" ht="15" x14ac:dyDescent="0.25">
      <c r="B21" s="1">
        <v>3449</v>
      </c>
      <c r="C21" s="1">
        <v>4181</v>
      </c>
      <c r="D21" s="1">
        <v>2760</v>
      </c>
      <c r="E21" s="1">
        <v>4009</v>
      </c>
      <c r="F21" s="1">
        <v>3090</v>
      </c>
      <c r="N21" s="12">
        <v>5</v>
      </c>
      <c r="O21" s="12">
        <v>15</v>
      </c>
      <c r="P21" s="12">
        <v>4</v>
      </c>
      <c r="Q21" s="12">
        <v>9</v>
      </c>
      <c r="R21" s="12">
        <v>8</v>
      </c>
    </row>
    <row r="22" spans="2:18" ht="15" x14ac:dyDescent="0.25">
      <c r="B22" s="1">
        <v>3610</v>
      </c>
      <c r="C22" s="1">
        <v>4567</v>
      </c>
      <c r="D22" s="1">
        <v>2652</v>
      </c>
      <c r="E22" s="1">
        <v>4126</v>
      </c>
      <c r="F22" s="1">
        <v>3198</v>
      </c>
      <c r="N22" s="12">
        <v>5</v>
      </c>
      <c r="O22" s="12">
        <v>23</v>
      </c>
      <c r="P22" s="12">
        <v>5</v>
      </c>
      <c r="Q22" s="12">
        <v>14</v>
      </c>
      <c r="R22" s="12">
        <v>5</v>
      </c>
    </row>
    <row r="23" spans="2:18" ht="15" x14ac:dyDescent="0.25">
      <c r="B23" s="1">
        <v>3763</v>
      </c>
      <c r="C23" s="1">
        <v>3496</v>
      </c>
      <c r="D23" s="1">
        <v>3565</v>
      </c>
      <c r="E23" s="1">
        <v>4116</v>
      </c>
      <c r="F23" s="1">
        <v>3108</v>
      </c>
      <c r="N23" s="12">
        <v>3</v>
      </c>
      <c r="O23" s="12">
        <v>6</v>
      </c>
      <c r="P23" s="12">
        <v>2</v>
      </c>
      <c r="Q23" s="12">
        <v>10</v>
      </c>
      <c r="R23" s="12">
        <v>5</v>
      </c>
    </row>
    <row r="24" spans="2:18" ht="15" x14ac:dyDescent="0.25">
      <c r="B24" s="1">
        <v>3759</v>
      </c>
      <c r="C24" s="1">
        <v>3419</v>
      </c>
      <c r="D24" s="1">
        <v>2652</v>
      </c>
      <c r="E24" s="1">
        <v>3427</v>
      </c>
      <c r="F24" s="1">
        <v>3206</v>
      </c>
      <c r="N24" s="12">
        <v>2</v>
      </c>
      <c r="O24" s="12">
        <v>14</v>
      </c>
      <c r="P24" s="12">
        <v>2</v>
      </c>
      <c r="Q24" s="12">
        <v>8</v>
      </c>
      <c r="R24" s="12">
        <v>4</v>
      </c>
    </row>
    <row r="25" spans="2:18" ht="15" x14ac:dyDescent="0.25">
      <c r="B25" s="1">
        <v>3658</v>
      </c>
      <c r="C25" s="1">
        <v>4470</v>
      </c>
      <c r="D25" s="1">
        <v>2711</v>
      </c>
      <c r="E25" s="1">
        <v>3824</v>
      </c>
      <c r="F25" s="1">
        <v>2919</v>
      </c>
      <c r="N25" s="12">
        <v>5</v>
      </c>
      <c r="O25" s="12">
        <v>13</v>
      </c>
      <c r="P25" s="12">
        <v>2</v>
      </c>
      <c r="Q25" s="12">
        <v>11</v>
      </c>
      <c r="R25" s="12">
        <v>4</v>
      </c>
    </row>
    <row r="26" spans="2:18" ht="15" x14ac:dyDescent="0.25">
      <c r="B26" s="1">
        <v>3671</v>
      </c>
      <c r="C26" s="1">
        <v>3720</v>
      </c>
      <c r="D26" s="1">
        <v>2996</v>
      </c>
      <c r="E26" s="1">
        <v>3862</v>
      </c>
      <c r="F26" s="1">
        <v>2459</v>
      </c>
      <c r="H26" s="13" t="s">
        <v>12</v>
      </c>
      <c r="N26" s="12">
        <v>2</v>
      </c>
      <c r="O26" s="12">
        <v>6</v>
      </c>
      <c r="P26" s="12">
        <v>4</v>
      </c>
      <c r="Q26" s="12">
        <v>6</v>
      </c>
      <c r="R26" s="12">
        <v>4</v>
      </c>
    </row>
    <row r="27" spans="2:18" ht="27" x14ac:dyDescent="0.25">
      <c r="B27" s="1">
        <v>3807</v>
      </c>
      <c r="C27" s="1">
        <v>4175</v>
      </c>
      <c r="D27" s="1">
        <v>3189</v>
      </c>
      <c r="E27" s="1">
        <v>3950</v>
      </c>
      <c r="F27" s="1">
        <v>2840</v>
      </c>
      <c r="H27" s="11" t="s">
        <v>5</v>
      </c>
      <c r="I27" s="6" t="s">
        <v>8</v>
      </c>
      <c r="J27" s="6" t="s">
        <v>6</v>
      </c>
      <c r="K27" s="3" t="s">
        <v>7</v>
      </c>
      <c r="N27" s="12">
        <v>4</v>
      </c>
      <c r="O27" s="12">
        <v>12</v>
      </c>
      <c r="P27" s="12">
        <v>4</v>
      </c>
      <c r="Q27" s="12">
        <v>7</v>
      </c>
      <c r="R27" s="12">
        <v>4</v>
      </c>
    </row>
    <row r="28" spans="2:18" ht="15" x14ac:dyDescent="0.25">
      <c r="B28" s="1">
        <v>3388</v>
      </c>
      <c r="C28" s="1">
        <v>4198</v>
      </c>
      <c r="D28" s="1">
        <v>3094</v>
      </c>
      <c r="E28" s="1">
        <v>3383</v>
      </c>
      <c r="F28" s="1">
        <v>3687</v>
      </c>
      <c r="H28" s="9" t="s">
        <v>0</v>
      </c>
      <c r="I28" s="15">
        <f>AVERAGE(TbDadosDorm[Pesquisa Aleatória])</f>
        <v>3.42</v>
      </c>
      <c r="J28" s="17">
        <f>SMALL(TbDadosDorm[Pesquisa Aleatória],1)</f>
        <v>2</v>
      </c>
      <c r="K28" s="18">
        <f>LARGE(TbDadosDorm[Pesquisa Aleatória],1)</f>
        <v>5</v>
      </c>
      <c r="N28" s="12">
        <v>4</v>
      </c>
      <c r="O28" s="12">
        <v>13</v>
      </c>
      <c r="P28" s="12">
        <v>4</v>
      </c>
      <c r="Q28" s="12">
        <v>10</v>
      </c>
      <c r="R28" s="12">
        <v>4</v>
      </c>
    </row>
    <row r="29" spans="2:18" ht="15" x14ac:dyDescent="0.25">
      <c r="B29" s="1">
        <v>3660</v>
      </c>
      <c r="C29" s="1">
        <v>5986</v>
      </c>
      <c r="D29" s="1">
        <v>2838</v>
      </c>
      <c r="E29" s="1">
        <v>4040</v>
      </c>
      <c r="F29" s="1">
        <v>3007</v>
      </c>
      <c r="H29" s="9" t="s">
        <v>1</v>
      </c>
      <c r="I29" s="16">
        <f>AVERAGE(TbDadosDorm[Subida da Encosta])</f>
        <v>13.32</v>
      </c>
      <c r="J29" s="19">
        <f>SMALL(TbDadosDorm[Subida da Encosta],1)</f>
        <v>5</v>
      </c>
      <c r="K29" s="20">
        <f>LARGE(TbDadosDorm[Subida da Encosta],1)</f>
        <v>24</v>
      </c>
      <c r="N29" s="12">
        <v>4</v>
      </c>
      <c r="O29" s="12">
        <v>18</v>
      </c>
      <c r="P29" s="12">
        <v>4</v>
      </c>
      <c r="Q29" s="12">
        <v>16</v>
      </c>
      <c r="R29" s="12">
        <v>2</v>
      </c>
    </row>
    <row r="30" spans="2:18" ht="30" x14ac:dyDescent="0.25">
      <c r="B30" s="1">
        <v>3720</v>
      </c>
      <c r="C30" s="1">
        <v>4918</v>
      </c>
      <c r="D30" s="1">
        <v>2745</v>
      </c>
      <c r="E30" s="1">
        <v>4030</v>
      </c>
      <c r="F30" s="1">
        <v>2802</v>
      </c>
      <c r="H30" s="9" t="s">
        <v>2</v>
      </c>
      <c r="I30" s="15">
        <f>AVERAGE(TbDadosDorm[Subida da Encosta + Pesquisa Aleatória])</f>
        <v>3.59</v>
      </c>
      <c r="J30" s="17">
        <f>SMALL(TbDadosDorm[Subida da Encosta + Pesquisa Aleatória],1)</f>
        <v>2</v>
      </c>
      <c r="K30" s="18">
        <f>LARGE(TbDadosDorm[Subida da Encosta + Pesquisa Aleatória],1)</f>
        <v>6</v>
      </c>
      <c r="N30" s="12">
        <v>4</v>
      </c>
      <c r="O30" s="12">
        <v>8</v>
      </c>
      <c r="P30" s="12">
        <v>3</v>
      </c>
      <c r="Q30" s="12">
        <v>12</v>
      </c>
      <c r="R30" s="12">
        <v>6</v>
      </c>
    </row>
    <row r="31" spans="2:18" ht="15" x14ac:dyDescent="0.25">
      <c r="B31" s="1">
        <v>3423</v>
      </c>
      <c r="C31" s="1">
        <v>4868</v>
      </c>
      <c r="D31" s="1">
        <v>3408</v>
      </c>
      <c r="E31" s="1">
        <v>3653</v>
      </c>
      <c r="F31" s="1">
        <v>2892</v>
      </c>
      <c r="H31" s="9" t="s">
        <v>3</v>
      </c>
      <c r="I31" s="16">
        <f>AVERAGE(TbDadosDorm[Têmpera Simulada])</f>
        <v>11.63</v>
      </c>
      <c r="J31" s="19">
        <f>SMALL(TbDadosDorm[Têmpera Simulada],1)</f>
        <v>4</v>
      </c>
      <c r="K31" s="20">
        <f>LARGE(TbDadosDorm[Têmpera Simulada],1)</f>
        <v>20</v>
      </c>
      <c r="N31" s="12">
        <v>2</v>
      </c>
      <c r="O31" s="12">
        <v>10</v>
      </c>
      <c r="P31" s="12">
        <v>3</v>
      </c>
      <c r="Q31" s="12">
        <v>14</v>
      </c>
      <c r="R31" s="12">
        <v>4</v>
      </c>
    </row>
    <row r="32" spans="2:18" ht="15" x14ac:dyDescent="0.25">
      <c r="B32" s="1">
        <v>3822</v>
      </c>
      <c r="C32" s="1">
        <v>3479</v>
      </c>
      <c r="D32" s="1">
        <v>2560</v>
      </c>
      <c r="E32" s="1">
        <v>3371</v>
      </c>
      <c r="F32" s="1">
        <v>2892</v>
      </c>
      <c r="H32" s="10" t="s">
        <v>4</v>
      </c>
      <c r="I32" s="15">
        <f>AVERAGE(TbDadosDorm[Algoritmo Genético])</f>
        <v>4.34</v>
      </c>
      <c r="J32" s="17">
        <f>SMALL(TbDadosDorm[Algoritmo Genético],1)</f>
        <v>2</v>
      </c>
      <c r="K32" s="18">
        <f>LARGE(TbDadosDorm[Algoritmo Genético],1)</f>
        <v>8</v>
      </c>
      <c r="N32" s="12">
        <v>2</v>
      </c>
      <c r="O32" s="12">
        <v>12</v>
      </c>
      <c r="P32" s="12">
        <v>4</v>
      </c>
      <c r="Q32" s="12">
        <v>11</v>
      </c>
      <c r="R32" s="12">
        <v>4</v>
      </c>
    </row>
    <row r="33" spans="2:18" ht="15" x14ac:dyDescent="0.25">
      <c r="B33" s="1">
        <v>3578</v>
      </c>
      <c r="C33" s="1">
        <v>3527</v>
      </c>
      <c r="D33" s="1">
        <v>2840</v>
      </c>
      <c r="E33" s="1">
        <v>4212</v>
      </c>
      <c r="F33" s="1">
        <v>3170</v>
      </c>
      <c r="N33" s="12">
        <v>3</v>
      </c>
      <c r="O33" s="12">
        <v>14</v>
      </c>
      <c r="P33" s="12">
        <v>5</v>
      </c>
      <c r="Q33" s="12">
        <v>16</v>
      </c>
      <c r="R33" s="12">
        <v>4</v>
      </c>
    </row>
    <row r="34" spans="2:18" ht="15" x14ac:dyDescent="0.25">
      <c r="B34" s="1">
        <v>3751</v>
      </c>
      <c r="C34" s="1">
        <v>6239</v>
      </c>
      <c r="D34" s="1">
        <v>2973</v>
      </c>
      <c r="E34" s="1">
        <v>3777</v>
      </c>
      <c r="F34" s="1">
        <v>3378</v>
      </c>
      <c r="N34" s="12">
        <v>4</v>
      </c>
      <c r="O34" s="12">
        <v>13</v>
      </c>
      <c r="P34" s="12">
        <v>3</v>
      </c>
      <c r="Q34" s="12">
        <v>4</v>
      </c>
      <c r="R34" s="12">
        <v>2</v>
      </c>
    </row>
    <row r="35" spans="2:18" ht="15" x14ac:dyDescent="0.25">
      <c r="B35" s="1">
        <v>3727</v>
      </c>
      <c r="C35" s="1">
        <v>5246</v>
      </c>
      <c r="D35" s="1">
        <v>3215</v>
      </c>
      <c r="E35" s="1">
        <v>3908</v>
      </c>
      <c r="F35" s="1">
        <v>3282</v>
      </c>
      <c r="N35" s="12">
        <v>4</v>
      </c>
      <c r="O35" s="12">
        <v>15</v>
      </c>
      <c r="P35" s="12">
        <v>4</v>
      </c>
      <c r="Q35" s="12">
        <v>12</v>
      </c>
      <c r="R35" s="12">
        <v>4</v>
      </c>
    </row>
    <row r="36" spans="2:18" ht="15" x14ac:dyDescent="0.25">
      <c r="B36" s="1">
        <v>3650</v>
      </c>
      <c r="C36" s="1">
        <v>4168</v>
      </c>
      <c r="D36" s="1">
        <v>2824</v>
      </c>
      <c r="E36" s="1">
        <v>3312</v>
      </c>
      <c r="F36" s="1">
        <v>3516</v>
      </c>
      <c r="N36" s="12">
        <v>3</v>
      </c>
      <c r="O36" s="12">
        <v>7</v>
      </c>
      <c r="P36" s="12">
        <v>4</v>
      </c>
      <c r="Q36" s="12">
        <v>15</v>
      </c>
      <c r="R36" s="12">
        <v>5</v>
      </c>
    </row>
    <row r="37" spans="2:18" ht="15" x14ac:dyDescent="0.25">
      <c r="B37" s="1">
        <v>3555</v>
      </c>
      <c r="C37" s="1">
        <v>4474</v>
      </c>
      <c r="D37" s="1">
        <v>2940</v>
      </c>
      <c r="E37" s="1">
        <v>3607</v>
      </c>
      <c r="F37" s="1">
        <v>2792</v>
      </c>
      <c r="N37" s="12">
        <v>4</v>
      </c>
      <c r="O37" s="12">
        <v>7</v>
      </c>
      <c r="P37" s="12">
        <v>4</v>
      </c>
      <c r="Q37" s="12">
        <v>16</v>
      </c>
      <c r="R37" s="12">
        <v>2</v>
      </c>
    </row>
    <row r="38" spans="2:18" ht="15" x14ac:dyDescent="0.25">
      <c r="B38" s="1">
        <v>3359</v>
      </c>
      <c r="C38" s="1">
        <v>4102</v>
      </c>
      <c r="D38" s="1">
        <v>2780</v>
      </c>
      <c r="E38" s="1">
        <v>3233</v>
      </c>
      <c r="F38" s="1">
        <v>3344</v>
      </c>
      <c r="N38" s="12">
        <v>4</v>
      </c>
      <c r="O38" s="12">
        <v>15</v>
      </c>
      <c r="P38" s="12">
        <v>3</v>
      </c>
      <c r="Q38" s="12">
        <v>9</v>
      </c>
      <c r="R38" s="12">
        <v>5</v>
      </c>
    </row>
    <row r="39" spans="2:18" ht="15" x14ac:dyDescent="0.25">
      <c r="B39" s="1">
        <v>3718</v>
      </c>
      <c r="C39" s="1">
        <v>4911</v>
      </c>
      <c r="D39" s="1">
        <v>3018</v>
      </c>
      <c r="E39" s="1">
        <v>3467</v>
      </c>
      <c r="F39" s="1">
        <v>3102</v>
      </c>
      <c r="N39" s="12">
        <v>2</v>
      </c>
      <c r="O39" s="12">
        <v>17</v>
      </c>
      <c r="P39" s="12">
        <v>3</v>
      </c>
      <c r="Q39" s="12">
        <v>17</v>
      </c>
      <c r="R39" s="12">
        <v>4</v>
      </c>
    </row>
    <row r="40" spans="2:18" ht="15" x14ac:dyDescent="0.25">
      <c r="B40" s="1">
        <v>3450</v>
      </c>
      <c r="C40" s="1">
        <v>5228</v>
      </c>
      <c r="D40" s="1">
        <v>2697</v>
      </c>
      <c r="E40" s="1">
        <v>2917</v>
      </c>
      <c r="F40" s="1">
        <v>2677</v>
      </c>
      <c r="N40" s="12">
        <v>3</v>
      </c>
      <c r="O40" s="12">
        <v>16</v>
      </c>
      <c r="P40" s="12">
        <v>3</v>
      </c>
      <c r="Q40" s="12">
        <v>9</v>
      </c>
      <c r="R40" s="12">
        <v>7</v>
      </c>
    </row>
    <row r="41" spans="2:18" ht="15" x14ac:dyDescent="0.25">
      <c r="B41" s="1">
        <v>3838</v>
      </c>
      <c r="C41" s="1">
        <v>3033</v>
      </c>
      <c r="D41" s="1">
        <v>2456</v>
      </c>
      <c r="E41" s="1">
        <v>3266</v>
      </c>
      <c r="F41" s="1">
        <v>3199</v>
      </c>
      <c r="N41" s="12">
        <v>5</v>
      </c>
      <c r="O41" s="12">
        <v>12</v>
      </c>
      <c r="P41" s="12">
        <v>2</v>
      </c>
      <c r="Q41" s="12">
        <v>10</v>
      </c>
      <c r="R41" s="12">
        <v>5</v>
      </c>
    </row>
    <row r="42" spans="2:18" ht="15" x14ac:dyDescent="0.25">
      <c r="B42" s="1">
        <v>3736</v>
      </c>
      <c r="C42" s="1">
        <v>3796</v>
      </c>
      <c r="D42" s="1">
        <v>2559</v>
      </c>
      <c r="E42" s="1">
        <v>4065</v>
      </c>
      <c r="F42" s="1">
        <v>2810</v>
      </c>
      <c r="N42" s="12">
        <v>2</v>
      </c>
      <c r="O42" s="12">
        <v>7</v>
      </c>
      <c r="P42" s="12">
        <v>5</v>
      </c>
      <c r="Q42" s="12">
        <v>8</v>
      </c>
      <c r="R42" s="12">
        <v>4</v>
      </c>
    </row>
    <row r="43" spans="2:18" ht="15" x14ac:dyDescent="0.25">
      <c r="B43" s="1">
        <v>3727</v>
      </c>
      <c r="C43" s="1">
        <v>4340</v>
      </c>
      <c r="D43" s="1">
        <v>2356</v>
      </c>
      <c r="E43" s="1">
        <v>3702</v>
      </c>
      <c r="F43" s="1">
        <v>2858</v>
      </c>
      <c r="N43" s="12">
        <v>2</v>
      </c>
      <c r="O43" s="12">
        <v>9</v>
      </c>
      <c r="P43" s="12">
        <v>6</v>
      </c>
      <c r="Q43" s="12">
        <v>14</v>
      </c>
      <c r="R43" s="12">
        <v>4</v>
      </c>
    </row>
    <row r="44" spans="2:18" ht="15" x14ac:dyDescent="0.25">
      <c r="B44" s="1">
        <v>3822</v>
      </c>
      <c r="C44" s="1">
        <v>3943</v>
      </c>
      <c r="D44" s="1">
        <v>3232</v>
      </c>
      <c r="E44" s="1">
        <v>3994</v>
      </c>
      <c r="F44" s="1">
        <v>3004</v>
      </c>
      <c r="N44" s="12">
        <v>2</v>
      </c>
      <c r="O44" s="12">
        <v>15</v>
      </c>
      <c r="P44" s="12">
        <v>3</v>
      </c>
      <c r="Q44" s="12">
        <v>13</v>
      </c>
      <c r="R44" s="12">
        <v>8</v>
      </c>
    </row>
    <row r="45" spans="2:18" ht="15" x14ac:dyDescent="0.25">
      <c r="B45" s="1">
        <v>3843</v>
      </c>
      <c r="C45" s="1">
        <v>3334</v>
      </c>
      <c r="D45" s="1">
        <v>3185</v>
      </c>
      <c r="E45" s="1">
        <v>4060</v>
      </c>
      <c r="F45" s="1">
        <v>2811</v>
      </c>
      <c r="N45" s="12">
        <v>4</v>
      </c>
      <c r="O45" s="12">
        <v>8</v>
      </c>
      <c r="P45" s="12">
        <v>6</v>
      </c>
      <c r="Q45" s="12">
        <v>19</v>
      </c>
      <c r="R45" s="12">
        <v>2</v>
      </c>
    </row>
    <row r="46" spans="2:18" ht="15" x14ac:dyDescent="0.25">
      <c r="B46" s="1">
        <v>3552</v>
      </c>
      <c r="C46" s="1">
        <v>3763</v>
      </c>
      <c r="D46" s="1">
        <v>2806</v>
      </c>
      <c r="E46" s="1">
        <v>3666</v>
      </c>
      <c r="F46" s="1">
        <v>2711</v>
      </c>
      <c r="N46" s="12">
        <v>4</v>
      </c>
      <c r="O46" s="12">
        <v>17</v>
      </c>
      <c r="P46" s="12">
        <v>4</v>
      </c>
      <c r="Q46" s="12">
        <v>16</v>
      </c>
      <c r="R46" s="12">
        <v>4</v>
      </c>
    </row>
    <row r="47" spans="2:18" ht="15" x14ac:dyDescent="0.25">
      <c r="B47" s="1">
        <v>3702</v>
      </c>
      <c r="C47" s="1">
        <v>3988</v>
      </c>
      <c r="D47" s="1">
        <v>2858</v>
      </c>
      <c r="E47" s="1">
        <v>3280</v>
      </c>
      <c r="F47" s="1">
        <v>2704</v>
      </c>
      <c r="N47" s="12">
        <v>4</v>
      </c>
      <c r="O47" s="12">
        <v>15</v>
      </c>
      <c r="P47" s="12">
        <v>4</v>
      </c>
      <c r="Q47" s="12">
        <v>16</v>
      </c>
      <c r="R47" s="12">
        <v>2</v>
      </c>
    </row>
    <row r="48" spans="2:18" ht="15" x14ac:dyDescent="0.25">
      <c r="B48" s="1">
        <v>3742</v>
      </c>
      <c r="C48" s="1">
        <v>3544</v>
      </c>
      <c r="D48" s="1">
        <v>2609</v>
      </c>
      <c r="E48" s="1">
        <v>3452</v>
      </c>
      <c r="F48" s="1">
        <v>2996</v>
      </c>
      <c r="H48" s="21" t="s">
        <v>13</v>
      </c>
      <c r="N48" s="12">
        <v>5</v>
      </c>
      <c r="O48" s="12">
        <v>19</v>
      </c>
      <c r="P48" s="12">
        <v>3</v>
      </c>
      <c r="Q48" s="12">
        <v>10</v>
      </c>
      <c r="R48" s="12">
        <v>5</v>
      </c>
    </row>
    <row r="49" spans="2:18" ht="15" x14ac:dyDescent="0.25">
      <c r="B49" s="1">
        <v>3798</v>
      </c>
      <c r="C49" s="1">
        <v>4443</v>
      </c>
      <c r="D49" s="1">
        <v>3209</v>
      </c>
      <c r="E49" s="1">
        <v>4256</v>
      </c>
      <c r="F49" s="1">
        <v>3043</v>
      </c>
      <c r="N49" s="12">
        <v>4</v>
      </c>
      <c r="O49" s="12">
        <v>14</v>
      </c>
      <c r="P49" s="12">
        <v>2</v>
      </c>
      <c r="Q49" s="12">
        <v>7</v>
      </c>
      <c r="R49" s="12">
        <v>4</v>
      </c>
    </row>
    <row r="50" spans="2:18" ht="15" x14ac:dyDescent="0.25">
      <c r="B50" s="1">
        <v>3279</v>
      </c>
      <c r="C50" s="1">
        <v>5626</v>
      </c>
      <c r="D50" s="1">
        <v>2990</v>
      </c>
      <c r="E50" s="1">
        <v>2792</v>
      </c>
      <c r="F50" s="1">
        <v>2893</v>
      </c>
      <c r="N50" s="12">
        <v>4</v>
      </c>
      <c r="O50" s="12">
        <v>13</v>
      </c>
      <c r="P50" s="12">
        <v>3</v>
      </c>
      <c r="Q50" s="12">
        <v>8</v>
      </c>
      <c r="R50" s="12">
        <v>4</v>
      </c>
    </row>
    <row r="51" spans="2:18" ht="15" x14ac:dyDescent="0.25">
      <c r="B51" s="1">
        <v>3970</v>
      </c>
      <c r="C51" s="1">
        <v>3050</v>
      </c>
      <c r="D51" s="1">
        <v>3421</v>
      </c>
      <c r="E51" s="1">
        <v>3106</v>
      </c>
      <c r="F51" s="1">
        <v>3194</v>
      </c>
      <c r="N51" s="12">
        <v>3</v>
      </c>
      <c r="O51" s="12">
        <v>19</v>
      </c>
      <c r="P51" s="12">
        <v>3</v>
      </c>
      <c r="Q51" s="12">
        <v>9</v>
      </c>
      <c r="R51" s="12">
        <v>4</v>
      </c>
    </row>
    <row r="52" spans="2:18" ht="15" x14ac:dyDescent="0.25">
      <c r="B52" s="1">
        <v>3707</v>
      </c>
      <c r="C52" s="1">
        <v>4656</v>
      </c>
      <c r="D52" s="1">
        <v>3190</v>
      </c>
      <c r="E52" s="1">
        <v>4293</v>
      </c>
      <c r="F52" s="1">
        <v>2725</v>
      </c>
      <c r="N52" s="12">
        <v>2</v>
      </c>
      <c r="O52" s="12">
        <v>13</v>
      </c>
      <c r="P52" s="12">
        <v>5</v>
      </c>
      <c r="Q52" s="12">
        <v>16</v>
      </c>
      <c r="R52" s="12">
        <v>7</v>
      </c>
    </row>
    <row r="53" spans="2:18" ht="15" x14ac:dyDescent="0.25">
      <c r="B53" s="1">
        <v>3609</v>
      </c>
      <c r="C53" s="1">
        <v>5142</v>
      </c>
      <c r="D53" s="1">
        <v>3088</v>
      </c>
      <c r="E53" s="1">
        <v>3380</v>
      </c>
      <c r="F53" s="1">
        <v>3175</v>
      </c>
      <c r="N53" s="12">
        <v>2</v>
      </c>
      <c r="O53" s="12">
        <v>18</v>
      </c>
      <c r="P53" s="12">
        <v>5</v>
      </c>
      <c r="Q53" s="12">
        <v>11</v>
      </c>
      <c r="R53" s="12">
        <v>4</v>
      </c>
    </row>
    <row r="54" spans="2:18" ht="15" x14ac:dyDescent="0.25">
      <c r="B54" s="1">
        <v>3719</v>
      </c>
      <c r="C54" s="1">
        <v>4335</v>
      </c>
      <c r="D54" s="1">
        <v>2602</v>
      </c>
      <c r="E54" s="1">
        <v>3283</v>
      </c>
      <c r="F54" s="1">
        <v>2745</v>
      </c>
      <c r="N54" s="12">
        <v>2</v>
      </c>
      <c r="O54" s="12">
        <v>20</v>
      </c>
      <c r="P54" s="12">
        <v>4</v>
      </c>
      <c r="Q54" s="12">
        <v>12</v>
      </c>
      <c r="R54" s="12">
        <v>5</v>
      </c>
    </row>
    <row r="55" spans="2:18" ht="15" x14ac:dyDescent="0.25">
      <c r="B55" s="1">
        <v>3511</v>
      </c>
      <c r="C55" s="1">
        <v>2996</v>
      </c>
      <c r="D55" s="1">
        <v>3142</v>
      </c>
      <c r="E55" s="1">
        <v>3810</v>
      </c>
      <c r="F55" s="1">
        <v>2677</v>
      </c>
      <c r="N55" s="12">
        <v>3</v>
      </c>
      <c r="O55" s="12">
        <v>8</v>
      </c>
      <c r="P55" s="12">
        <v>3</v>
      </c>
      <c r="Q55" s="12">
        <v>7</v>
      </c>
      <c r="R55" s="12">
        <v>7</v>
      </c>
    </row>
    <row r="56" spans="2:18" ht="15" x14ac:dyDescent="0.25">
      <c r="B56" s="1">
        <v>3714</v>
      </c>
      <c r="C56" s="1">
        <v>4104</v>
      </c>
      <c r="D56" s="1">
        <v>2819</v>
      </c>
      <c r="E56" s="1">
        <v>3637</v>
      </c>
      <c r="F56" s="1">
        <v>3420</v>
      </c>
      <c r="N56" s="12">
        <v>4</v>
      </c>
      <c r="O56" s="12">
        <v>18</v>
      </c>
      <c r="P56" s="12">
        <v>4</v>
      </c>
      <c r="Q56" s="12">
        <v>16</v>
      </c>
      <c r="R56" s="12">
        <v>4</v>
      </c>
    </row>
    <row r="57" spans="2:18" ht="15" x14ac:dyDescent="0.25">
      <c r="B57" s="1">
        <v>3397</v>
      </c>
      <c r="C57" s="1">
        <v>6178</v>
      </c>
      <c r="D57" s="1">
        <v>3024</v>
      </c>
      <c r="E57" s="1">
        <v>3947</v>
      </c>
      <c r="F57" s="1">
        <v>3081</v>
      </c>
      <c r="N57" s="12">
        <v>2</v>
      </c>
      <c r="O57" s="12">
        <v>10</v>
      </c>
      <c r="P57" s="12">
        <v>4</v>
      </c>
      <c r="Q57" s="12">
        <v>14</v>
      </c>
      <c r="R57" s="12">
        <v>2</v>
      </c>
    </row>
    <row r="58" spans="2:18" ht="15" x14ac:dyDescent="0.25">
      <c r="B58" s="1">
        <v>3666</v>
      </c>
      <c r="C58" s="1">
        <v>4932</v>
      </c>
      <c r="D58" s="1">
        <v>2604</v>
      </c>
      <c r="E58" s="1">
        <v>3680</v>
      </c>
      <c r="F58" s="1">
        <v>2715</v>
      </c>
      <c r="N58" s="12">
        <v>4</v>
      </c>
      <c r="O58" s="12">
        <v>15</v>
      </c>
      <c r="P58" s="12">
        <v>4</v>
      </c>
      <c r="Q58" s="12">
        <v>16</v>
      </c>
      <c r="R58" s="12">
        <v>5</v>
      </c>
    </row>
    <row r="59" spans="2:18" ht="15" x14ac:dyDescent="0.25">
      <c r="B59" s="1">
        <v>3785</v>
      </c>
      <c r="C59" s="1">
        <v>3665</v>
      </c>
      <c r="D59" s="1">
        <v>2828</v>
      </c>
      <c r="E59" s="1">
        <v>3780</v>
      </c>
      <c r="F59" s="1">
        <v>3539</v>
      </c>
      <c r="N59" s="12">
        <v>3</v>
      </c>
      <c r="O59" s="12">
        <v>9</v>
      </c>
      <c r="P59" s="12">
        <v>4</v>
      </c>
      <c r="Q59" s="12">
        <v>16</v>
      </c>
      <c r="R59" s="12">
        <v>4</v>
      </c>
    </row>
    <row r="60" spans="2:18" ht="15" x14ac:dyDescent="0.25">
      <c r="B60" s="1">
        <v>3335</v>
      </c>
      <c r="C60" s="1">
        <v>3582</v>
      </c>
      <c r="D60" s="1">
        <v>2854</v>
      </c>
      <c r="E60" s="1">
        <v>3536</v>
      </c>
      <c r="F60" s="1">
        <v>2768</v>
      </c>
      <c r="N60" s="12">
        <v>3</v>
      </c>
      <c r="O60" s="12">
        <v>8</v>
      </c>
      <c r="P60" s="12">
        <v>3</v>
      </c>
      <c r="Q60" s="12">
        <v>9</v>
      </c>
      <c r="R60" s="12">
        <v>8</v>
      </c>
    </row>
    <row r="61" spans="2:18" ht="15" x14ac:dyDescent="0.25">
      <c r="B61" s="1">
        <v>3687</v>
      </c>
      <c r="C61" s="1">
        <v>5074</v>
      </c>
      <c r="D61" s="1">
        <v>3021</v>
      </c>
      <c r="E61" s="1">
        <v>3574</v>
      </c>
      <c r="F61" s="1">
        <v>2959</v>
      </c>
      <c r="N61" s="12">
        <v>4</v>
      </c>
      <c r="O61" s="12">
        <v>11</v>
      </c>
      <c r="P61" s="12">
        <v>2</v>
      </c>
      <c r="Q61" s="12">
        <v>9</v>
      </c>
      <c r="R61" s="12">
        <v>4</v>
      </c>
    </row>
    <row r="62" spans="2:18" ht="15" x14ac:dyDescent="0.25">
      <c r="B62" s="1">
        <v>3328</v>
      </c>
      <c r="C62" s="1">
        <v>3080</v>
      </c>
      <c r="D62" s="1">
        <v>3418</v>
      </c>
      <c r="E62" s="1">
        <v>3791</v>
      </c>
      <c r="F62" s="1">
        <v>2995</v>
      </c>
      <c r="N62" s="12">
        <v>5</v>
      </c>
      <c r="O62" s="12">
        <v>12</v>
      </c>
      <c r="P62" s="12">
        <v>3</v>
      </c>
      <c r="Q62" s="12">
        <v>11</v>
      </c>
      <c r="R62" s="12">
        <v>7</v>
      </c>
    </row>
    <row r="63" spans="2:18" ht="15" x14ac:dyDescent="0.25">
      <c r="B63" s="1">
        <v>3608</v>
      </c>
      <c r="C63" s="1">
        <v>5171</v>
      </c>
      <c r="D63" s="1">
        <v>2693</v>
      </c>
      <c r="E63" s="1">
        <v>3469</v>
      </c>
      <c r="F63" s="1">
        <v>3233</v>
      </c>
      <c r="N63" s="12">
        <v>4</v>
      </c>
      <c r="O63" s="12">
        <v>9</v>
      </c>
      <c r="P63" s="12">
        <v>4</v>
      </c>
      <c r="Q63" s="12">
        <v>10</v>
      </c>
      <c r="R63" s="12">
        <v>4</v>
      </c>
    </row>
    <row r="64" spans="2:18" ht="15" x14ac:dyDescent="0.25">
      <c r="B64" s="1">
        <v>3686</v>
      </c>
      <c r="C64" s="1">
        <v>4889</v>
      </c>
      <c r="D64" s="1">
        <v>2840</v>
      </c>
      <c r="E64" s="1">
        <v>4474</v>
      </c>
      <c r="F64" s="1">
        <v>2909</v>
      </c>
      <c r="N64" s="12">
        <v>3</v>
      </c>
      <c r="O64" s="12">
        <v>8</v>
      </c>
      <c r="P64" s="12">
        <v>4</v>
      </c>
      <c r="Q64" s="12">
        <v>12</v>
      </c>
      <c r="R64" s="12">
        <v>5</v>
      </c>
    </row>
    <row r="65" spans="2:18" ht="15" x14ac:dyDescent="0.25">
      <c r="B65" s="1">
        <v>3801</v>
      </c>
      <c r="C65" s="1">
        <v>4216</v>
      </c>
      <c r="D65" s="1">
        <v>3125</v>
      </c>
      <c r="E65" s="1">
        <v>4062</v>
      </c>
      <c r="F65" s="1">
        <v>2897</v>
      </c>
      <c r="N65" s="12">
        <v>4</v>
      </c>
      <c r="O65" s="12">
        <v>15</v>
      </c>
      <c r="P65" s="12">
        <v>2</v>
      </c>
      <c r="Q65" s="12">
        <v>12</v>
      </c>
      <c r="R65" s="12">
        <v>4</v>
      </c>
    </row>
    <row r="66" spans="2:18" ht="15" x14ac:dyDescent="0.25">
      <c r="B66" s="1">
        <v>3751</v>
      </c>
      <c r="C66" s="1">
        <v>3258</v>
      </c>
      <c r="D66" s="1">
        <v>3061</v>
      </c>
      <c r="E66" s="1">
        <v>3219</v>
      </c>
      <c r="F66" s="1">
        <v>2736</v>
      </c>
      <c r="N66" s="12">
        <v>2</v>
      </c>
      <c r="O66" s="12">
        <v>13</v>
      </c>
      <c r="P66" s="12">
        <v>4</v>
      </c>
      <c r="Q66" s="12">
        <v>12</v>
      </c>
      <c r="R66" s="12">
        <v>4</v>
      </c>
    </row>
    <row r="67" spans="2:18" ht="15" x14ac:dyDescent="0.25">
      <c r="B67" s="1">
        <v>3772</v>
      </c>
      <c r="C67" s="1">
        <v>4905</v>
      </c>
      <c r="D67" s="1">
        <v>2820</v>
      </c>
      <c r="E67" s="1">
        <v>2780</v>
      </c>
      <c r="F67" s="1">
        <v>2404</v>
      </c>
      <c r="N67" s="12">
        <v>5</v>
      </c>
      <c r="O67" s="12">
        <v>8</v>
      </c>
      <c r="P67" s="12">
        <v>3</v>
      </c>
      <c r="Q67" s="12">
        <v>13</v>
      </c>
      <c r="R67" s="12">
        <v>5</v>
      </c>
    </row>
    <row r="68" spans="2:18" ht="15" x14ac:dyDescent="0.25">
      <c r="B68" s="1">
        <v>3691</v>
      </c>
      <c r="C68" s="1">
        <v>5035</v>
      </c>
      <c r="D68" s="1">
        <v>3049</v>
      </c>
      <c r="E68" s="1">
        <v>3464</v>
      </c>
      <c r="F68" s="1">
        <v>2748</v>
      </c>
      <c r="N68" s="12">
        <v>4</v>
      </c>
      <c r="O68" s="12">
        <v>18</v>
      </c>
      <c r="P68" s="12">
        <v>4</v>
      </c>
      <c r="Q68" s="12">
        <v>10</v>
      </c>
      <c r="R68" s="12">
        <v>5</v>
      </c>
    </row>
    <row r="69" spans="2:18" ht="15" x14ac:dyDescent="0.25">
      <c r="B69" s="1">
        <v>3606</v>
      </c>
      <c r="C69" s="1">
        <v>4499</v>
      </c>
      <c r="D69" s="1">
        <v>2692</v>
      </c>
      <c r="E69" s="1">
        <v>3601</v>
      </c>
      <c r="F69" s="1">
        <v>2906</v>
      </c>
      <c r="N69" s="12">
        <v>4</v>
      </c>
      <c r="O69" s="12">
        <v>11</v>
      </c>
      <c r="P69" s="12">
        <v>4</v>
      </c>
      <c r="Q69" s="12">
        <v>7</v>
      </c>
      <c r="R69" s="12">
        <v>4</v>
      </c>
    </row>
    <row r="70" spans="2:18" ht="15" x14ac:dyDescent="0.25">
      <c r="B70" s="1">
        <v>3519</v>
      </c>
      <c r="C70" s="1">
        <v>5263</v>
      </c>
      <c r="D70" s="1">
        <v>2817</v>
      </c>
      <c r="E70" s="1">
        <v>3413</v>
      </c>
      <c r="F70" s="1">
        <v>3007</v>
      </c>
      <c r="N70" s="12">
        <v>5</v>
      </c>
      <c r="O70" s="12">
        <v>13</v>
      </c>
      <c r="P70" s="12">
        <v>3</v>
      </c>
      <c r="Q70" s="12">
        <v>14</v>
      </c>
      <c r="R70" s="12">
        <v>4</v>
      </c>
    </row>
    <row r="71" spans="2:18" ht="15" x14ac:dyDescent="0.25">
      <c r="B71" s="1">
        <v>3783</v>
      </c>
      <c r="C71" s="1">
        <v>3430</v>
      </c>
      <c r="D71" s="1">
        <v>3030</v>
      </c>
      <c r="E71" s="1">
        <v>3282</v>
      </c>
      <c r="F71" s="1">
        <v>2700</v>
      </c>
      <c r="N71" s="12">
        <v>2</v>
      </c>
      <c r="O71" s="12">
        <v>17</v>
      </c>
      <c r="P71" s="12">
        <v>4</v>
      </c>
      <c r="Q71" s="12">
        <v>16</v>
      </c>
      <c r="R71" s="12">
        <v>5</v>
      </c>
    </row>
    <row r="72" spans="2:18" ht="15" x14ac:dyDescent="0.25">
      <c r="B72" s="1">
        <v>3251</v>
      </c>
      <c r="C72" s="1">
        <v>4344</v>
      </c>
      <c r="D72" s="1">
        <v>2890</v>
      </c>
      <c r="E72" s="1">
        <v>3169</v>
      </c>
      <c r="F72" s="1">
        <v>2459</v>
      </c>
      <c r="N72" s="12">
        <v>2</v>
      </c>
      <c r="O72" s="12">
        <v>22</v>
      </c>
      <c r="P72" s="12">
        <v>4</v>
      </c>
      <c r="Q72" s="12">
        <v>9</v>
      </c>
      <c r="R72" s="12">
        <v>8</v>
      </c>
    </row>
    <row r="73" spans="2:18" ht="15" x14ac:dyDescent="0.25">
      <c r="B73" s="1">
        <v>3532</v>
      </c>
      <c r="C73" s="1">
        <v>2956</v>
      </c>
      <c r="D73" s="1">
        <v>2842</v>
      </c>
      <c r="E73" s="1">
        <v>3514</v>
      </c>
      <c r="F73" s="1">
        <v>2993</v>
      </c>
      <c r="N73" s="12">
        <v>3</v>
      </c>
      <c r="O73" s="12">
        <v>13</v>
      </c>
      <c r="P73" s="12">
        <v>5</v>
      </c>
      <c r="Q73" s="12">
        <v>11</v>
      </c>
      <c r="R73" s="12">
        <v>2</v>
      </c>
    </row>
    <row r="74" spans="2:18" ht="15" x14ac:dyDescent="0.25">
      <c r="B74" s="1">
        <v>3667</v>
      </c>
      <c r="C74" s="1">
        <v>4901</v>
      </c>
      <c r="D74" s="1">
        <v>2951</v>
      </c>
      <c r="E74" s="1">
        <v>3160</v>
      </c>
      <c r="F74" s="1">
        <v>3008</v>
      </c>
      <c r="N74" s="12">
        <v>3</v>
      </c>
      <c r="O74" s="12">
        <v>14</v>
      </c>
      <c r="P74" s="12">
        <v>4</v>
      </c>
      <c r="Q74" s="12">
        <v>13</v>
      </c>
      <c r="R74" s="12">
        <v>7</v>
      </c>
    </row>
    <row r="75" spans="2:18" ht="15" x14ac:dyDescent="0.25">
      <c r="B75" s="1">
        <v>3744</v>
      </c>
      <c r="C75" s="1">
        <v>4771</v>
      </c>
      <c r="D75" s="1">
        <v>2947</v>
      </c>
      <c r="E75" s="1">
        <v>4289</v>
      </c>
      <c r="F75" s="1">
        <v>2533</v>
      </c>
      <c r="N75" s="12">
        <v>4</v>
      </c>
      <c r="O75" s="12">
        <v>15</v>
      </c>
      <c r="P75" s="12">
        <v>4</v>
      </c>
      <c r="Q75" s="12">
        <v>10</v>
      </c>
      <c r="R75" s="12">
        <v>2</v>
      </c>
    </row>
    <row r="76" spans="2:18" ht="15" x14ac:dyDescent="0.25">
      <c r="B76" s="1">
        <v>3624</v>
      </c>
      <c r="C76" s="1">
        <v>3201</v>
      </c>
      <c r="D76" s="1">
        <v>3022</v>
      </c>
      <c r="E76" s="1">
        <v>3624</v>
      </c>
      <c r="F76" s="1">
        <v>2356</v>
      </c>
      <c r="N76" s="12">
        <v>3</v>
      </c>
      <c r="O76" s="12">
        <v>24</v>
      </c>
      <c r="P76" s="12">
        <v>4</v>
      </c>
      <c r="Q76" s="12">
        <v>14</v>
      </c>
      <c r="R76" s="12">
        <v>5</v>
      </c>
    </row>
    <row r="77" spans="2:18" ht="15" x14ac:dyDescent="0.25">
      <c r="B77" s="1">
        <v>3860</v>
      </c>
      <c r="C77" s="1">
        <v>4761</v>
      </c>
      <c r="D77" s="1">
        <v>2749</v>
      </c>
      <c r="E77" s="1">
        <v>3136</v>
      </c>
      <c r="F77" s="1">
        <v>3019</v>
      </c>
      <c r="N77" s="12">
        <v>4</v>
      </c>
      <c r="O77" s="12">
        <v>9</v>
      </c>
      <c r="P77" s="12">
        <v>5</v>
      </c>
      <c r="Q77" s="12">
        <v>13</v>
      </c>
      <c r="R77" s="12">
        <v>8</v>
      </c>
    </row>
    <row r="78" spans="2:18" ht="15" x14ac:dyDescent="0.25">
      <c r="B78" s="1">
        <v>3699</v>
      </c>
      <c r="C78" s="1">
        <v>5150</v>
      </c>
      <c r="D78" s="1">
        <v>2618</v>
      </c>
      <c r="E78" s="1">
        <v>3924</v>
      </c>
      <c r="F78" s="1">
        <v>2554</v>
      </c>
      <c r="N78" s="12">
        <v>4</v>
      </c>
      <c r="O78" s="12">
        <v>11</v>
      </c>
      <c r="P78" s="12">
        <v>4</v>
      </c>
      <c r="Q78" s="12">
        <v>8</v>
      </c>
      <c r="R78" s="12">
        <v>2</v>
      </c>
    </row>
    <row r="79" spans="2:18" ht="15" x14ac:dyDescent="0.25">
      <c r="B79" s="1">
        <v>3603</v>
      </c>
      <c r="C79" s="1">
        <v>3752</v>
      </c>
      <c r="D79" s="1">
        <v>2887</v>
      </c>
      <c r="E79" s="1">
        <v>4504</v>
      </c>
      <c r="F79" s="1">
        <v>3059</v>
      </c>
      <c r="N79" s="12">
        <v>2</v>
      </c>
      <c r="O79" s="12">
        <v>17</v>
      </c>
      <c r="P79" s="12">
        <v>4</v>
      </c>
      <c r="Q79" s="12">
        <v>13</v>
      </c>
      <c r="R79" s="12">
        <v>4</v>
      </c>
    </row>
    <row r="80" spans="2:18" ht="15" x14ac:dyDescent="0.25">
      <c r="B80" s="1">
        <v>3551</v>
      </c>
      <c r="C80" s="1">
        <v>4844</v>
      </c>
      <c r="D80" s="1">
        <v>2919</v>
      </c>
      <c r="E80" s="1">
        <v>3668</v>
      </c>
      <c r="F80" s="1">
        <v>3033</v>
      </c>
      <c r="N80" s="12">
        <v>3</v>
      </c>
      <c r="O80" s="12">
        <v>16</v>
      </c>
      <c r="P80" s="12">
        <v>4</v>
      </c>
      <c r="Q80" s="12">
        <v>13</v>
      </c>
      <c r="R80" s="12">
        <v>4</v>
      </c>
    </row>
    <row r="81" spans="2:18" ht="15" x14ac:dyDescent="0.25">
      <c r="B81" s="1">
        <v>3931</v>
      </c>
      <c r="C81" s="1">
        <v>4205</v>
      </c>
      <c r="D81" s="1">
        <v>2970</v>
      </c>
      <c r="E81" s="1">
        <v>3556</v>
      </c>
      <c r="F81" s="1">
        <v>2854</v>
      </c>
      <c r="N81" s="12">
        <v>3</v>
      </c>
      <c r="O81" s="12">
        <v>15</v>
      </c>
      <c r="P81" s="12">
        <v>2</v>
      </c>
      <c r="Q81" s="12">
        <v>4</v>
      </c>
      <c r="R81" s="12">
        <v>3</v>
      </c>
    </row>
    <row r="82" spans="2:18" ht="15" x14ac:dyDescent="0.25">
      <c r="B82" s="1">
        <v>3621</v>
      </c>
      <c r="C82" s="1">
        <v>4537</v>
      </c>
      <c r="D82" s="1">
        <v>2909</v>
      </c>
      <c r="E82" s="1">
        <v>3333</v>
      </c>
      <c r="F82" s="1">
        <v>2761</v>
      </c>
      <c r="N82" s="12">
        <v>2</v>
      </c>
      <c r="O82" s="12">
        <v>5</v>
      </c>
      <c r="P82" s="12">
        <v>4</v>
      </c>
      <c r="Q82" s="12">
        <v>9</v>
      </c>
      <c r="R82" s="12">
        <v>2</v>
      </c>
    </row>
    <row r="83" spans="2:18" ht="15" x14ac:dyDescent="0.25">
      <c r="B83" s="1">
        <v>3473</v>
      </c>
      <c r="C83" s="1">
        <v>4161</v>
      </c>
      <c r="D83" s="1">
        <v>2854</v>
      </c>
      <c r="E83" s="1">
        <v>2815</v>
      </c>
      <c r="F83" s="1">
        <v>3031</v>
      </c>
      <c r="N83" s="12">
        <v>4</v>
      </c>
      <c r="O83" s="12">
        <v>7</v>
      </c>
      <c r="P83" s="12">
        <v>4</v>
      </c>
      <c r="Q83" s="12">
        <v>10</v>
      </c>
      <c r="R83" s="12">
        <v>2</v>
      </c>
    </row>
    <row r="84" spans="2:18" ht="15" x14ac:dyDescent="0.25">
      <c r="B84" s="1">
        <v>3747</v>
      </c>
      <c r="C84" s="1">
        <v>4536</v>
      </c>
      <c r="D84" s="1">
        <v>2810</v>
      </c>
      <c r="E84" s="1">
        <v>3263</v>
      </c>
      <c r="F84" s="1">
        <v>3080</v>
      </c>
      <c r="N84" s="12">
        <v>2</v>
      </c>
      <c r="O84" s="12">
        <v>17</v>
      </c>
      <c r="P84" s="12">
        <v>4</v>
      </c>
      <c r="Q84" s="12">
        <v>15</v>
      </c>
      <c r="R84" s="12">
        <v>2</v>
      </c>
    </row>
    <row r="85" spans="2:18" ht="15" x14ac:dyDescent="0.25">
      <c r="B85" s="1">
        <v>3566</v>
      </c>
      <c r="C85" s="1">
        <v>3641</v>
      </c>
      <c r="D85" s="1">
        <v>2982</v>
      </c>
      <c r="E85" s="1">
        <v>3605</v>
      </c>
      <c r="F85" s="1">
        <v>3231</v>
      </c>
      <c r="N85" s="12">
        <v>4</v>
      </c>
      <c r="O85" s="12">
        <v>8</v>
      </c>
      <c r="P85" s="12">
        <v>2</v>
      </c>
      <c r="Q85" s="12">
        <v>17</v>
      </c>
      <c r="R85" s="12">
        <v>4</v>
      </c>
    </row>
    <row r="86" spans="2:18" ht="15" x14ac:dyDescent="0.25">
      <c r="B86" s="1">
        <v>3410</v>
      </c>
      <c r="C86" s="1">
        <v>3845</v>
      </c>
      <c r="D86" s="1">
        <v>2456</v>
      </c>
      <c r="E86" s="1">
        <v>4978</v>
      </c>
      <c r="F86" s="1">
        <v>2780</v>
      </c>
      <c r="N86" s="12">
        <v>4</v>
      </c>
      <c r="O86" s="12">
        <v>18</v>
      </c>
      <c r="P86" s="12">
        <v>3</v>
      </c>
      <c r="Q86" s="12">
        <v>13</v>
      </c>
      <c r="R86" s="12">
        <v>3</v>
      </c>
    </row>
    <row r="87" spans="2:18" ht="15" x14ac:dyDescent="0.25">
      <c r="B87" s="1">
        <v>3349</v>
      </c>
      <c r="C87" s="1">
        <v>3970</v>
      </c>
      <c r="D87" s="1">
        <v>2967</v>
      </c>
      <c r="E87" s="1">
        <v>3973</v>
      </c>
      <c r="F87" s="1">
        <v>2711</v>
      </c>
      <c r="N87" s="12">
        <v>4</v>
      </c>
      <c r="O87" s="12">
        <v>16</v>
      </c>
      <c r="P87" s="12">
        <v>3</v>
      </c>
      <c r="Q87" s="12">
        <v>8</v>
      </c>
      <c r="R87" s="12">
        <v>5</v>
      </c>
    </row>
    <row r="88" spans="2:18" ht="15" x14ac:dyDescent="0.25">
      <c r="B88" s="1">
        <v>3509</v>
      </c>
      <c r="C88" s="1">
        <v>4518</v>
      </c>
      <c r="D88" s="1">
        <v>2809</v>
      </c>
      <c r="E88" s="1">
        <v>3461</v>
      </c>
      <c r="F88" s="1">
        <v>2725</v>
      </c>
      <c r="N88" s="12">
        <v>4</v>
      </c>
      <c r="O88" s="12">
        <v>11</v>
      </c>
      <c r="P88" s="12">
        <v>2</v>
      </c>
      <c r="Q88" s="12">
        <v>8</v>
      </c>
      <c r="R88" s="12">
        <v>4</v>
      </c>
    </row>
    <row r="89" spans="2:18" ht="15" x14ac:dyDescent="0.25">
      <c r="B89" s="1">
        <v>3578</v>
      </c>
      <c r="C89" s="1">
        <v>4960</v>
      </c>
      <c r="D89" s="1">
        <v>2947</v>
      </c>
      <c r="E89" s="1">
        <v>3406</v>
      </c>
      <c r="F89" s="1">
        <v>3208</v>
      </c>
      <c r="N89" s="12">
        <v>4</v>
      </c>
      <c r="O89" s="12">
        <v>18</v>
      </c>
      <c r="P89" s="12">
        <v>2</v>
      </c>
      <c r="Q89" s="12">
        <v>12</v>
      </c>
      <c r="R89" s="12">
        <v>4</v>
      </c>
    </row>
    <row r="90" spans="2:18" ht="15" x14ac:dyDescent="0.25">
      <c r="B90" s="1">
        <v>3628</v>
      </c>
      <c r="C90" s="1">
        <v>6607</v>
      </c>
      <c r="D90" s="1">
        <v>3032</v>
      </c>
      <c r="E90" s="1">
        <v>4018</v>
      </c>
      <c r="F90" s="1">
        <v>2716</v>
      </c>
      <c r="N90" s="12">
        <v>4</v>
      </c>
      <c r="O90" s="12">
        <v>17</v>
      </c>
      <c r="P90" s="12">
        <v>5</v>
      </c>
      <c r="Q90" s="12">
        <v>11</v>
      </c>
      <c r="R90" s="12">
        <v>7</v>
      </c>
    </row>
    <row r="91" spans="2:18" ht="15" x14ac:dyDescent="0.25">
      <c r="B91" s="1">
        <v>3808</v>
      </c>
      <c r="C91" s="1">
        <v>3805</v>
      </c>
      <c r="D91" s="1">
        <v>2798</v>
      </c>
      <c r="E91" s="1">
        <v>3725</v>
      </c>
      <c r="F91" s="1">
        <v>2677</v>
      </c>
      <c r="N91" s="12">
        <v>2</v>
      </c>
      <c r="O91" s="12">
        <v>14</v>
      </c>
      <c r="P91" s="12">
        <v>3</v>
      </c>
      <c r="Q91" s="12">
        <v>9</v>
      </c>
      <c r="R91" s="12">
        <v>4</v>
      </c>
    </row>
    <row r="92" spans="2:18" ht="15" x14ac:dyDescent="0.25">
      <c r="B92" s="1">
        <v>3669</v>
      </c>
      <c r="C92" s="1">
        <v>5481</v>
      </c>
      <c r="D92" s="1">
        <v>2754</v>
      </c>
      <c r="E92" s="1">
        <v>3537</v>
      </c>
      <c r="F92" s="1">
        <v>2930</v>
      </c>
      <c r="N92" s="12">
        <v>5</v>
      </c>
      <c r="O92" s="12">
        <v>5</v>
      </c>
      <c r="P92" s="12">
        <v>4</v>
      </c>
      <c r="Q92" s="12">
        <v>10</v>
      </c>
      <c r="R92" s="12">
        <v>7</v>
      </c>
    </row>
    <row r="93" spans="2:18" ht="15" x14ac:dyDescent="0.25">
      <c r="B93" s="1">
        <v>3329</v>
      </c>
      <c r="C93" s="1">
        <v>4165</v>
      </c>
      <c r="D93" s="1">
        <v>2992</v>
      </c>
      <c r="E93" s="1">
        <v>3887</v>
      </c>
      <c r="F93" s="1">
        <v>3373</v>
      </c>
      <c r="N93" s="12">
        <v>5</v>
      </c>
      <c r="O93" s="12">
        <v>11</v>
      </c>
      <c r="P93" s="12">
        <v>4</v>
      </c>
      <c r="Q93" s="12">
        <v>12</v>
      </c>
      <c r="R93" s="12">
        <v>2</v>
      </c>
    </row>
    <row r="94" spans="2:18" ht="15" x14ac:dyDescent="0.25">
      <c r="B94" s="1">
        <v>3826</v>
      </c>
      <c r="C94" s="1">
        <v>3393</v>
      </c>
      <c r="D94" s="1">
        <v>3256</v>
      </c>
      <c r="E94" s="1">
        <v>3944</v>
      </c>
      <c r="F94" s="1">
        <v>3056</v>
      </c>
      <c r="N94" s="12">
        <v>4</v>
      </c>
      <c r="O94" s="12">
        <v>11</v>
      </c>
      <c r="P94" s="12">
        <v>4</v>
      </c>
      <c r="Q94" s="12">
        <v>10</v>
      </c>
      <c r="R94" s="12">
        <v>3</v>
      </c>
    </row>
    <row r="95" spans="2:18" ht="15" x14ac:dyDescent="0.25">
      <c r="B95" s="1">
        <v>3691</v>
      </c>
      <c r="C95" s="1">
        <v>4730</v>
      </c>
      <c r="D95" s="1">
        <v>2545</v>
      </c>
      <c r="E95" s="1">
        <v>3874</v>
      </c>
      <c r="F95" s="1">
        <v>3038</v>
      </c>
      <c r="N95" s="12">
        <v>4</v>
      </c>
      <c r="O95" s="12">
        <v>10</v>
      </c>
      <c r="P95" s="12">
        <v>2</v>
      </c>
      <c r="Q95" s="12">
        <v>8</v>
      </c>
      <c r="R95" s="12">
        <v>4</v>
      </c>
    </row>
    <row r="96" spans="2:18" ht="15" x14ac:dyDescent="0.25">
      <c r="B96" s="1">
        <v>3659</v>
      </c>
      <c r="C96" s="1">
        <v>4528</v>
      </c>
      <c r="D96" s="1">
        <v>2980</v>
      </c>
      <c r="E96" s="1">
        <v>3426</v>
      </c>
      <c r="F96" s="1">
        <v>2995</v>
      </c>
      <c r="N96" s="12">
        <v>4</v>
      </c>
      <c r="O96" s="12">
        <v>15</v>
      </c>
      <c r="P96" s="12">
        <v>3</v>
      </c>
      <c r="Q96" s="12">
        <v>15</v>
      </c>
      <c r="R96" s="12">
        <v>5</v>
      </c>
    </row>
    <row r="97" spans="2:18" ht="15" x14ac:dyDescent="0.25">
      <c r="B97" s="1">
        <v>3804</v>
      </c>
      <c r="C97" s="1">
        <v>3753</v>
      </c>
      <c r="D97" s="1">
        <v>3302</v>
      </c>
      <c r="E97" s="1">
        <v>3419</v>
      </c>
      <c r="F97" s="1">
        <v>2857</v>
      </c>
      <c r="N97" s="12">
        <v>2</v>
      </c>
      <c r="O97" s="12">
        <v>22</v>
      </c>
      <c r="P97" s="12">
        <v>4</v>
      </c>
      <c r="Q97" s="12">
        <v>15</v>
      </c>
      <c r="R97" s="12">
        <v>4</v>
      </c>
    </row>
    <row r="98" spans="2:18" ht="15" x14ac:dyDescent="0.25">
      <c r="B98" s="1">
        <v>3490</v>
      </c>
      <c r="C98" s="1">
        <v>3441</v>
      </c>
      <c r="D98" s="1">
        <v>2459</v>
      </c>
      <c r="E98" s="1">
        <v>3969</v>
      </c>
      <c r="F98" s="1">
        <v>2404</v>
      </c>
      <c r="N98" s="12">
        <v>5</v>
      </c>
      <c r="O98" s="12">
        <v>14</v>
      </c>
      <c r="P98" s="12">
        <v>4</v>
      </c>
      <c r="Q98" s="12">
        <v>6</v>
      </c>
      <c r="R98" s="12">
        <v>4</v>
      </c>
    </row>
    <row r="99" spans="2:18" ht="15" x14ac:dyDescent="0.25">
      <c r="B99" s="1">
        <v>3640</v>
      </c>
      <c r="C99" s="1">
        <v>4125</v>
      </c>
      <c r="D99" s="1">
        <v>2404</v>
      </c>
      <c r="E99" s="1">
        <v>2777</v>
      </c>
      <c r="F99" s="1">
        <v>3061</v>
      </c>
      <c r="N99" s="12">
        <v>4</v>
      </c>
      <c r="O99" s="12">
        <v>13</v>
      </c>
      <c r="P99" s="12">
        <v>4</v>
      </c>
      <c r="Q99" s="12">
        <v>15</v>
      </c>
      <c r="R99" s="12">
        <v>6</v>
      </c>
    </row>
    <row r="100" spans="2:18" ht="15" x14ac:dyDescent="0.25">
      <c r="B100" s="1">
        <v>3827</v>
      </c>
      <c r="C100" s="1">
        <v>4395</v>
      </c>
      <c r="D100" s="1">
        <v>3274</v>
      </c>
      <c r="E100" s="1">
        <v>3650</v>
      </c>
      <c r="F100" s="1">
        <v>3364</v>
      </c>
      <c r="N100" s="12">
        <v>3</v>
      </c>
      <c r="O100" s="12">
        <v>8</v>
      </c>
      <c r="P100" s="12">
        <v>6</v>
      </c>
      <c r="Q100" s="12">
        <v>11</v>
      </c>
      <c r="R100" s="12">
        <v>2</v>
      </c>
    </row>
    <row r="101" spans="2:18" ht="15" x14ac:dyDescent="0.25">
      <c r="B101" s="1">
        <v>3563</v>
      </c>
      <c r="C101" s="1">
        <v>5849</v>
      </c>
      <c r="D101" s="1">
        <v>2742</v>
      </c>
      <c r="E101" s="1">
        <v>3578</v>
      </c>
      <c r="F101" s="1">
        <v>3067</v>
      </c>
      <c r="N101" s="12">
        <v>4</v>
      </c>
      <c r="O101" s="12">
        <v>13</v>
      </c>
      <c r="P101" s="12">
        <v>4</v>
      </c>
      <c r="Q101" s="12">
        <v>11</v>
      </c>
      <c r="R101" s="12">
        <v>2</v>
      </c>
    </row>
    <row r="102" spans="2:18" ht="15" x14ac:dyDescent="0.25">
      <c r="B102" s="1">
        <v>3730</v>
      </c>
      <c r="C102" s="1">
        <v>6574</v>
      </c>
      <c r="D102" s="1">
        <v>3497</v>
      </c>
      <c r="E102" s="1">
        <v>3903</v>
      </c>
      <c r="F102" s="1">
        <v>2780</v>
      </c>
      <c r="N102" s="12">
        <v>4</v>
      </c>
      <c r="O102" s="12">
        <v>10</v>
      </c>
      <c r="P102" s="12">
        <v>5</v>
      </c>
      <c r="Q102" s="12">
        <v>13</v>
      </c>
      <c r="R102" s="12">
        <v>4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dcterms:created xsi:type="dcterms:W3CDTF">2025-04-30T00:40:57Z</dcterms:created>
  <dcterms:modified xsi:type="dcterms:W3CDTF">2025-04-30T20:50:57Z</dcterms:modified>
</cp:coreProperties>
</file>